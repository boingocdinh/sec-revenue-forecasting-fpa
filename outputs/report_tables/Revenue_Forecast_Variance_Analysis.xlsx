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Variance — Top $ Misses" sheetId="2" state="visible" r:id="rId4"/>
    <sheet name="Variance — Top % Misses" sheetId="3" state="visible" r:id="rId5"/>
    <sheet name="Forecast Accuracy by Quarte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<sst xmlns="http://schemas.openxmlformats.org/spreadsheetml/2006/main" count="157" uniqueCount="90">
  <si>
    <t xml:space="preserve">Revenue Forecasting — Variance &amp; Forecast-Accuracy Analysis</t>
  </si>
  <si>
    <t xml:space="preserve">IMPROVED log-growth model (500 trees, min_leaf 20)  |  Out-of-sample test: FY2025</t>
  </si>
  <si>
    <t xml:space="preserve">Model</t>
  </si>
  <si>
    <t xml:space="preserve">Firm-level features -&gt; predicts LOG-GROWTH, reconstructed as revenue x exp(growth). Trained 2021-2023, validated 2024 (params chosen by sMAPE), tested 2025.</t>
  </si>
  <si>
    <t xml:space="preserve">Why log-growth</t>
  </si>
  <si>
    <t xml:space="preserve">Forecasts are mathematically non-negative; accuracy is spread proportionally across firm sizes instead of concentrated on mega-caps.</t>
  </si>
  <si>
    <t xml:space="preserve">Variance</t>
  </si>
  <si>
    <t xml:space="preserve">Forecast - Actual. Positive = over-forecast; negative = under-forecast.</t>
  </si>
  <si>
    <t xml:space="preserve">Headline results — test_2025 (all 13,496 rows)</t>
  </si>
  <si>
    <t xml:space="preserve">  Mean absolute error (MAE)</t>
  </si>
  <si>
    <t xml:space="preserve">$146.7M  vs  $184.3M seasonal baseline  (+20.4%)</t>
  </si>
  <si>
    <t xml:space="preserve">  Median absolute % variance</t>
  </si>
  <si>
    <t xml:space="preserve">7.6%</t>
  </si>
  <si>
    <t xml:space="preserve">  sMAPE</t>
  </si>
  <si>
    <t xml:space="preserve">0.211  vs  0.281 seasonal baseline</t>
  </si>
  <si>
    <t xml:space="preserve">  Impossible (negative) forecasts</t>
  </si>
  <si>
    <t xml:space="preserve">0  vs  64 (seasonal) / prior dollar model</t>
  </si>
  <si>
    <t xml:space="preserve">  Forecast hit rate within +/-10%</t>
  </si>
  <si>
    <t xml:space="preserve">~57% of firm-quarters</t>
  </si>
  <si>
    <t xml:space="preserve">Honest notes for interview</t>
  </si>
  <si>
    <t xml:space="preserve">  Naive baseline</t>
  </si>
  <si>
    <t xml:space="preserve">A naive 'same as last quarter' forecast matches the model on % error (7.6%); the model's real edge is dollar-weighted accuracy + zero impossible forecasts. This reflects how persistent quarterly revenue is.</t>
  </si>
  <si>
    <t xml:space="preserve">  Mega-cap segmentation</t>
  </si>
  <si>
    <t xml:space="preserve">Tested and REJECTED: deferring to seasonal on &gt;$5B firms worsened MAE ($173M vs $147M). Plain log-growth model wins.</t>
  </si>
  <si>
    <t xml:space="preserve">  Scope</t>
  </si>
  <si>
    <t xml:space="preserve">Variance tables cover positive-revenue firm-quarters; zero/negative-revenue rows use a seasonal fallback and are not deleted.</t>
  </si>
  <si>
    <t xml:space="preserve">Largest Forecast Variances by Dollar Amount (Top 25)</t>
  </si>
  <si>
    <t xml:space="preserve">Dominated by large-cap firms — biggest companies produce the biggest dollar gaps.</t>
  </si>
  <si>
    <t xml:space="preserve">Company</t>
  </si>
  <si>
    <t xml:space="preserve">Period</t>
  </si>
  <si>
    <t xml:space="preserve">Actual ($mm)</t>
  </si>
  <si>
    <t xml:space="preserve">Forecast ($mm)</t>
  </si>
  <si>
    <t xml:space="preserve">Variance ($mm)</t>
  </si>
  <si>
    <t xml:space="preserve">Variance %</t>
  </si>
  <si>
    <t xml:space="preserve">Baseline ($mm)</t>
  </si>
  <si>
    <t xml:space="preserve">NVIDIA CORP</t>
  </si>
  <si>
    <t xml:space="preserve">2025Q1</t>
  </si>
  <si>
    <t xml:space="preserve">APPLE INC</t>
  </si>
  <si>
    <t xml:space="preserve">2025Q4</t>
  </si>
  <si>
    <t xml:space="preserve">WALMART INC.</t>
  </si>
  <si>
    <t xml:space="preserve">AMAZON COM INC</t>
  </si>
  <si>
    <t xml:space="preserve">MCKESSON CORP</t>
  </si>
  <si>
    <t xml:space="preserve">2025Q2</t>
  </si>
  <si>
    <t xml:space="preserve">COSTCO WHOLESALE CORP /NEW</t>
  </si>
  <si>
    <t xml:space="preserve">2025Q3</t>
  </si>
  <si>
    <t xml:space="preserve">L3HARRIS TECHNOLOGIES, INC. /DE/</t>
  </si>
  <si>
    <t xml:space="preserve">KROGER CO</t>
  </si>
  <si>
    <t xml:space="preserve">BUNGE GLOBAL SA</t>
  </si>
  <si>
    <t xml:space="preserve">TARGET CORP</t>
  </si>
  <si>
    <t xml:space="preserve">FORD MOTOR CO</t>
  </si>
  <si>
    <t xml:space="preserve">PEPSICO INC</t>
  </si>
  <si>
    <t xml:space="preserve">ALPHABET INC.</t>
  </si>
  <si>
    <t xml:space="preserve">CENCORA, INC.</t>
  </si>
  <si>
    <t xml:space="preserve">UNITEDHEALTH GROUP INC</t>
  </si>
  <si>
    <t xml:space="preserve">SUPER MICRO COMPUTER, INC.</t>
  </si>
  <si>
    <t xml:space="preserve">Variance = Forecast - Actual. Positive = over-forecast; negative = under-forecast.</t>
  </si>
  <si>
    <t xml:space="preserve">Largest Forecast Variances by Percentage (Top 25)</t>
  </si>
  <si>
    <t xml:space="preserve">Firms &gt;= $50M actual revenue, so tiny denominators don't create false outliers. Where the model genuinely struggled.</t>
  </si>
  <si>
    <t xml:space="preserve">GREENBRIER COMPANIES INC</t>
  </si>
  <si>
    <t xml:space="preserve">MODERNA, INC.</t>
  </si>
  <si>
    <t xml:space="preserve">RAYONIER INC</t>
  </si>
  <si>
    <t xml:space="preserve">ATLANTA BRAVES HOLDINGS, INC.</t>
  </si>
  <si>
    <t xml:space="preserve">VAIL RESORTS INC</t>
  </si>
  <si>
    <t xml:space="preserve">H&amp;R BLOCK INC</t>
  </si>
  <si>
    <t xml:space="preserve">CARLYLE GROUP INC.</t>
  </si>
  <si>
    <t xml:space="preserve">NOVAVAX INC</t>
  </si>
  <si>
    <t xml:space="preserve">OWENS &amp; MINOR INC/VA/</t>
  </si>
  <si>
    <t xml:space="preserve">TELEPHONE &amp; DATA SYSTEMS INC /DE/</t>
  </si>
  <si>
    <t xml:space="preserve">OCCIDENTAL PETROLEUM CORP /DE/</t>
  </si>
  <si>
    <t xml:space="preserve">PTC THERAPEUTICS, INC.</t>
  </si>
  <si>
    <t xml:space="preserve">PURSUIT ATTRACTIONS &amp; HOSPITALITY, INC.</t>
  </si>
  <si>
    <t xml:space="preserve">PRUCO LIFE INSURANCE CO</t>
  </si>
  <si>
    <t xml:space="preserve">TPI COMPOSITES, INC</t>
  </si>
  <si>
    <t xml:space="preserve">HOWARD HUGHES CORP</t>
  </si>
  <si>
    <t xml:space="preserve">SCOTTS MIRACLE-GRO CO</t>
  </si>
  <si>
    <t xml:space="preserve">BRIGHTHOUSE FINANCIAL, INC.</t>
  </si>
  <si>
    <t xml:space="preserve">ENTRAVISION COMMUNICATIONS CORP</t>
  </si>
  <si>
    <t xml:space="preserve">FORTITUDE LIFE INSURANCE &amp; ANNUITY CO</t>
  </si>
  <si>
    <t xml:space="preserve">CNX RESOURCES CORP</t>
  </si>
  <si>
    <t xml:space="preserve">HARLEY-DAVIDSON, INC.</t>
  </si>
  <si>
    <t xml:space="preserve">LESLIE'S, INC.</t>
  </si>
  <si>
    <t xml:space="preserve">LIONS GATE ENTERTAINMENT CORP /CN/</t>
  </si>
  <si>
    <t xml:space="preserve">Natural focus for forecast-review commentary — firms moving in ways the model could not anticipate.</t>
  </si>
  <si>
    <t xml:space="preserve">Forecast Accuracy Summary by Quarter (FY2025)</t>
  </si>
  <si>
    <t xml:space="preserve">Your model — mean &amp; median absolute variance by quarter.</t>
  </si>
  <si>
    <t xml:space="preserve">Quarter</t>
  </si>
  <si>
    <t xml:space="preserve"># Firms</t>
  </si>
  <si>
    <t xml:space="preserve">Mean Abs Variance ($mm)</t>
  </si>
  <si>
    <t xml:space="preserve">Median Abs Variance %</t>
  </si>
  <si>
    <t xml:space="preserve">FY2025 avg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</si>
</sst>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;\(#,##0.0\);\-"/>
    <numFmt numFmtId="166" formatCode="0.0%;\(0.0%\);\-"/>
    <numFmt numFmtId="167" formatCode="#,##0.0"/>
    <numFmt numFmtId="168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5FB"/>
        <bgColor rgb="FFFFFFFF"/>
      </patternFill>
    </fill>
    <fill>
      <patternFill patternType="solid">
        <fgColor rgb="FFD9E1F2"/>
        <bgColor rgb="FFF2F5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5FB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3" min="3" style="0" width="86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/>
      <c r="C5" s="4"/>
    </row>
    <row r="6" customFormat="false" ht="23.85" hidden="false" customHeight="false" outlineLevel="0" collapsed="false">
      <c r="B6" s="3" t="s">
        <v>2</v>
      </c>
      <c r="C6" s="4" t="s">
        <v>3</v>
      </c>
    </row>
    <row r="7" customFormat="false" ht="23.85" hidden="false" customHeight="false" outlineLevel="0" collapsed="false">
      <c r="B7" s="3" t="s">
        <v>4</v>
      </c>
      <c r="C7" s="5" t="s">
        <v>5</v>
      </c>
    </row>
    <row r="8" customFormat="false" ht="15" hidden="false" customHeight="false" outlineLevel="0" collapsed="false">
      <c r="B8" s="3" t="s">
        <v>6</v>
      </c>
      <c r="C8" s="4" t="s">
        <v>7</v>
      </c>
    </row>
    <row r="9" customFormat="false" ht="15" hidden="false" customHeight="false" outlineLevel="0" collapsed="false">
      <c r="B9" s="3"/>
      <c r="C9" s="4"/>
    </row>
    <row r="10" customFormat="false" ht="15" hidden="false" customHeight="false" outlineLevel="0" collapsed="false">
      <c r="B10" s="6" t="s">
        <v>8</v>
      </c>
      <c r="C10" s="4"/>
    </row>
    <row r="11" customFormat="false" ht="15" hidden="false" customHeight="false" outlineLevel="0" collapsed="false">
      <c r="B11" s="3" t="s">
        <v>9</v>
      </c>
      <c r="C11" s="4" t="s">
        <v>10</v>
      </c>
    </row>
    <row r="12" customFormat="false" ht="15" hidden="false" customHeight="false" outlineLevel="0" collapsed="false">
      <c r="B12" s="3" t="s">
        <v>11</v>
      </c>
      <c r="C12" s="4" t="s">
        <v>12</v>
      </c>
    </row>
    <row r="13" customFormat="false" ht="15" hidden="false" customHeight="false" outlineLevel="0" collapsed="false">
      <c r="B13" s="3" t="s">
        <v>13</v>
      </c>
      <c r="C13" s="4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/>
      <c r="C16" s="4"/>
    </row>
    <row r="17" customFormat="false" ht="15" hidden="false" customHeight="false" outlineLevel="0" collapsed="false">
      <c r="B17" s="6" t="s">
        <v>19</v>
      </c>
      <c r="C17" s="4"/>
    </row>
    <row r="18" customFormat="false" ht="23.85" hidden="false" customHeight="false" outlineLevel="0" collapsed="false">
      <c r="B18" s="3" t="s">
        <v>20</v>
      </c>
      <c r="C18" s="5" t="s">
        <v>21</v>
      </c>
    </row>
    <row r="19" customFormat="false" ht="23.85" hidden="false" customHeight="false" outlineLevel="0" collapsed="false">
      <c r="B19" s="3" t="s">
        <v>22</v>
      </c>
      <c r="C19" s="5" t="s">
        <v>23</v>
      </c>
    </row>
    <row r="20" customFormat="false" ht="23.85" hidden="false" customHeight="false" outlineLevel="0" collapsed="false">
      <c r="B20" s="3" t="s">
        <v>24</v>
      </c>
      <c r="C20" s="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5"/>
    <col collapsed="false" customWidth="true" hidden="false" outlineLevel="0" max="7" min="7" style="0" width="12"/>
    <col collapsed="false" customWidth="true" hidden="false" outlineLevel="0" max="8" min="8" style="0" width="15"/>
  </cols>
  <sheetData>
    <row r="2" customFormat="false" ht="18.55" hidden="false" customHeight="false" outlineLevel="0" collapsed="false">
      <c r="B2" s="1" t="s">
        <v>26</v>
      </c>
    </row>
    <row r="3" customFormat="false" ht="15" hidden="false" customHeight="false" outlineLevel="0" collapsed="false">
      <c r="B3" s="7" t="s">
        <v>27</v>
      </c>
    </row>
    <row r="5" customFormat="false" ht="15" hidden="false" customHeight="false" outlineLevel="0" collapsed="false">
      <c r="B5" s="8" t="s">
        <v>28</v>
      </c>
      <c r="C5" s="8" t="s">
        <v>29</v>
      </c>
      <c r="D5" s="8" t="s">
        <v>30</v>
      </c>
      <c r="E5" s="8" t="s">
        <v>31</v>
      </c>
      <c r="F5" s="8" t="s">
        <v>32</v>
      </c>
      <c r="G5" s="8" t="s">
        <v>33</v>
      </c>
      <c r="H5" s="8" t="s">
        <v>34</v>
      </c>
    </row>
    <row r="6" customFormat="false" ht="15" hidden="false" customHeight="false" outlineLevel="0" collapsed="false">
      <c r="B6" s="9" t="s">
        <v>35</v>
      </c>
      <c r="C6" s="10" t="s">
        <v>36</v>
      </c>
      <c r="D6" s="11" t="n">
        <v>91678</v>
      </c>
      <c r="E6" s="11" t="n">
        <v>36453.4</v>
      </c>
      <c r="F6" s="11" t="n">
        <f aca="false">E6-D6</f>
        <v>-55224.6</v>
      </c>
      <c r="G6" s="12" t="n">
        <f aca="false">IF(D6=0,"-",F6/D6)</f>
        <v>-0.602375706276315</v>
      </c>
      <c r="H6" s="11" t="n">
        <v>39999</v>
      </c>
    </row>
    <row r="7" customFormat="false" ht="15" hidden="false" customHeight="false" outlineLevel="0" collapsed="false">
      <c r="B7" s="13" t="s">
        <v>37</v>
      </c>
      <c r="C7" s="14" t="s">
        <v>38</v>
      </c>
      <c r="D7" s="15" t="n">
        <v>143756</v>
      </c>
      <c r="E7" s="15" t="n">
        <v>103129.6</v>
      </c>
      <c r="F7" s="15" t="n">
        <f aca="false">E7-D7</f>
        <v>-40626.4</v>
      </c>
      <c r="G7" s="16" t="n">
        <f aca="false">IF(D7=0,"-",F7/D7)</f>
        <v>-0.282606639027241</v>
      </c>
      <c r="H7" s="15" t="n">
        <v>124300</v>
      </c>
    </row>
    <row r="8" customFormat="false" ht="15" hidden="false" customHeight="false" outlineLevel="0" collapsed="false">
      <c r="B8" s="9" t="s">
        <v>39</v>
      </c>
      <c r="C8" s="10" t="s">
        <v>36</v>
      </c>
      <c r="D8" s="11" t="n">
        <v>203815</v>
      </c>
      <c r="E8" s="11" t="n">
        <v>171396.4</v>
      </c>
      <c r="F8" s="11" t="n">
        <f aca="false">E8-D8</f>
        <v>-32418.6</v>
      </c>
      <c r="G8" s="12" t="n">
        <f aca="false">IF(D8=0,"-",F8/D8)</f>
        <v>-0.159058950518853</v>
      </c>
      <c r="H8" s="11" t="n">
        <v>199499</v>
      </c>
    </row>
    <row r="9" customFormat="false" ht="15" hidden="false" customHeight="false" outlineLevel="0" collapsed="false">
      <c r="B9" s="13" t="s">
        <v>40</v>
      </c>
      <c r="C9" s="14" t="s">
        <v>38</v>
      </c>
      <c r="D9" s="15" t="n">
        <v>213386</v>
      </c>
      <c r="E9" s="15" t="n">
        <v>184119.1</v>
      </c>
      <c r="F9" s="15" t="n">
        <f aca="false">E9-D9</f>
        <v>-29266.9</v>
      </c>
      <c r="G9" s="16" t="n">
        <f aca="false">IF(D9=0,"-",F9/D9)</f>
        <v>-0.137154733675124</v>
      </c>
      <c r="H9" s="15" t="n">
        <v>187792</v>
      </c>
    </row>
    <row r="10" customFormat="false" ht="15" hidden="false" customHeight="false" outlineLevel="0" collapsed="false">
      <c r="B10" s="9" t="s">
        <v>41</v>
      </c>
      <c r="C10" s="10" t="s">
        <v>36</v>
      </c>
      <c r="D10" s="11" t="n">
        <v>126455</v>
      </c>
      <c r="E10" s="11" t="n">
        <v>97938.8</v>
      </c>
      <c r="F10" s="11" t="n">
        <f aca="false">E10-D10</f>
        <v>-28516.2</v>
      </c>
      <c r="G10" s="12" t="n">
        <f aca="false">IF(D10=0,"-",F10/D10)</f>
        <v>-0.225504725000988</v>
      </c>
      <c r="H10" s="11" t="n">
        <v>101150</v>
      </c>
    </row>
    <row r="11" customFormat="false" ht="15" hidden="false" customHeight="false" outlineLevel="0" collapsed="false">
      <c r="B11" s="13" t="s">
        <v>39</v>
      </c>
      <c r="C11" s="14" t="s">
        <v>42</v>
      </c>
      <c r="D11" s="15" t="n">
        <v>163981</v>
      </c>
      <c r="E11" s="15" t="n">
        <v>189680</v>
      </c>
      <c r="F11" s="15" t="n">
        <f aca="false">E11-D11</f>
        <v>25699</v>
      </c>
      <c r="G11" s="16" t="n">
        <f aca="false">IF(D11=0,"-",F11/D11)</f>
        <v>0.156719376025271</v>
      </c>
      <c r="H11" s="15" t="n">
        <v>159938</v>
      </c>
    </row>
    <row r="12" customFormat="false" ht="15" hidden="false" customHeight="false" outlineLevel="0" collapsed="false">
      <c r="B12" s="9" t="s">
        <v>40</v>
      </c>
      <c r="C12" s="10" t="s">
        <v>36</v>
      </c>
      <c r="D12" s="11" t="n">
        <v>155667</v>
      </c>
      <c r="E12" s="11" t="n">
        <v>181165.1</v>
      </c>
      <c r="F12" s="11" t="n">
        <f aca="false">E12-D12</f>
        <v>25498.1</v>
      </c>
      <c r="G12" s="12" t="n">
        <f aca="false">IF(D12=0,"-",F12/D12)</f>
        <v>0.163799006854375</v>
      </c>
      <c r="H12" s="11" t="n">
        <v>143313</v>
      </c>
    </row>
    <row r="13" customFormat="false" ht="15" hidden="false" customHeight="false" outlineLevel="0" collapsed="false">
      <c r="B13" s="13" t="s">
        <v>43</v>
      </c>
      <c r="C13" s="14" t="s">
        <v>44</v>
      </c>
      <c r="D13" s="15" t="n">
        <v>86156</v>
      </c>
      <c r="E13" s="15" t="n">
        <v>64373</v>
      </c>
      <c r="F13" s="15" t="n">
        <f aca="false">E13-D13</f>
        <v>-21783</v>
      </c>
      <c r="G13" s="16" t="n">
        <f aca="false">IF(D13=0,"-",F13/D13)</f>
        <v>-0.252832072055342</v>
      </c>
      <c r="H13" s="15" t="n">
        <v>79697</v>
      </c>
    </row>
    <row r="14" customFormat="false" ht="15" hidden="false" customHeight="false" outlineLevel="0" collapsed="false">
      <c r="B14" s="9" t="s">
        <v>45</v>
      </c>
      <c r="C14" s="10" t="s">
        <v>38</v>
      </c>
      <c r="D14" s="11" t="n">
        <v>21865</v>
      </c>
      <c r="E14" s="11" t="n">
        <v>5709.7</v>
      </c>
      <c r="F14" s="11" t="n">
        <f aca="false">E14-D14</f>
        <v>-16155.3</v>
      </c>
      <c r="G14" s="12" t="n">
        <f aca="false">IF(D14=0,"-",F14/D14)</f>
        <v>-0.738865767207867</v>
      </c>
      <c r="H14" s="11" t="n">
        <v>5523</v>
      </c>
    </row>
    <row r="15" customFormat="false" ht="15" hidden="false" customHeight="false" outlineLevel="0" collapsed="false">
      <c r="B15" s="13" t="s">
        <v>35</v>
      </c>
      <c r="C15" s="14" t="s">
        <v>42</v>
      </c>
      <c r="D15" s="15" t="n">
        <v>44062</v>
      </c>
      <c r="E15" s="15" t="n">
        <v>55847.5</v>
      </c>
      <c r="F15" s="15" t="n">
        <f aca="false">E15-D15</f>
        <v>11785.5</v>
      </c>
      <c r="G15" s="16" t="n">
        <f aca="false">IF(D15=0,"-",F15/D15)</f>
        <v>0.267475375607099</v>
      </c>
      <c r="H15" s="15" t="n">
        <v>26044</v>
      </c>
    </row>
    <row r="16" customFormat="false" ht="15" hidden="false" customHeight="false" outlineLevel="0" collapsed="false">
      <c r="B16" s="9" t="s">
        <v>37</v>
      </c>
      <c r="C16" s="10" t="s">
        <v>36</v>
      </c>
      <c r="D16" s="11" t="n">
        <v>95359</v>
      </c>
      <c r="E16" s="11" t="n">
        <v>106715.6</v>
      </c>
      <c r="F16" s="11" t="n">
        <f aca="false">E16-D16</f>
        <v>11356.6</v>
      </c>
      <c r="G16" s="12" t="n">
        <f aca="false">IF(D16=0,"-",F16/D16)</f>
        <v>0.119093111295211</v>
      </c>
      <c r="H16" s="11" t="n">
        <v>90753</v>
      </c>
    </row>
    <row r="17" customFormat="false" ht="15" hidden="false" customHeight="false" outlineLevel="0" collapsed="false">
      <c r="B17" s="13" t="s">
        <v>46</v>
      </c>
      <c r="C17" s="14" t="s">
        <v>42</v>
      </c>
      <c r="D17" s="15" t="n">
        <v>45118</v>
      </c>
      <c r="E17" s="15" t="n">
        <v>34225.2</v>
      </c>
      <c r="F17" s="15" t="n">
        <f aca="false">E17-D17</f>
        <v>-10892.8</v>
      </c>
      <c r="G17" s="16" t="n">
        <f aca="false">IF(D17=0,"-",F17/D17)</f>
        <v>-0.241429141362649</v>
      </c>
      <c r="H17" s="15" t="n">
        <v>45269</v>
      </c>
    </row>
    <row r="18" customFormat="false" ht="15" hidden="false" customHeight="false" outlineLevel="0" collapsed="false">
      <c r="B18" s="9" t="s">
        <v>47</v>
      </c>
      <c r="C18" s="10" t="s">
        <v>44</v>
      </c>
      <c r="D18" s="11" t="n">
        <v>22155</v>
      </c>
      <c r="E18" s="11" t="n">
        <v>12582.3</v>
      </c>
      <c r="F18" s="11" t="n">
        <f aca="false">E18-D18</f>
        <v>-9572.7</v>
      </c>
      <c r="G18" s="12" t="n">
        <f aca="false">IF(D18=0,"-",F18/D18)</f>
        <v>-0.432078537576168</v>
      </c>
      <c r="H18" s="11" t="n">
        <v>12908</v>
      </c>
    </row>
    <row r="19" customFormat="false" ht="15" hidden="false" customHeight="false" outlineLevel="0" collapsed="false">
      <c r="B19" s="13" t="s">
        <v>40</v>
      </c>
      <c r="C19" s="14" t="s">
        <v>44</v>
      </c>
      <c r="D19" s="15" t="n">
        <v>180169</v>
      </c>
      <c r="E19" s="15" t="n">
        <v>170862.7</v>
      </c>
      <c r="F19" s="15" t="n">
        <f aca="false">E19-D19</f>
        <v>-9306.29999999999</v>
      </c>
      <c r="G19" s="16" t="n">
        <f aca="false">IF(D19=0,"-",F19/D19)</f>
        <v>-0.0516531700792034</v>
      </c>
      <c r="H19" s="15" t="n">
        <v>158877</v>
      </c>
    </row>
    <row r="20" customFormat="false" ht="15" hidden="false" customHeight="false" outlineLevel="0" collapsed="false">
      <c r="B20" s="9" t="s">
        <v>48</v>
      </c>
      <c r="C20" s="10" t="s">
        <v>42</v>
      </c>
      <c r="D20" s="11" t="n">
        <v>23846</v>
      </c>
      <c r="E20" s="11" t="n">
        <v>33128.1</v>
      </c>
      <c r="F20" s="11" t="n">
        <f aca="false">E20-D20</f>
        <v>9282.1</v>
      </c>
      <c r="G20" s="12" t="n">
        <f aca="false">IF(D20=0,"-",F20/D20)</f>
        <v>0.389251866141072</v>
      </c>
      <c r="H20" s="11" t="n">
        <v>24531</v>
      </c>
    </row>
    <row r="21" customFormat="false" ht="15" hidden="false" customHeight="false" outlineLevel="0" collapsed="false">
      <c r="B21" s="13" t="s">
        <v>49</v>
      </c>
      <c r="C21" s="14" t="s">
        <v>42</v>
      </c>
      <c r="D21" s="15" t="n">
        <v>50184</v>
      </c>
      <c r="E21" s="15" t="n">
        <v>41196.8</v>
      </c>
      <c r="F21" s="15" t="n">
        <f aca="false">E21-D21</f>
        <v>-8987.2</v>
      </c>
      <c r="G21" s="16" t="n">
        <f aca="false">IF(D21=0,"-",F21/D21)</f>
        <v>-0.179084967320261</v>
      </c>
      <c r="H21" s="15" t="n">
        <v>47808</v>
      </c>
    </row>
    <row r="22" customFormat="false" ht="15" hidden="false" customHeight="false" outlineLevel="0" collapsed="false">
      <c r="B22" s="9" t="s">
        <v>50</v>
      </c>
      <c r="C22" s="10" t="s">
        <v>36</v>
      </c>
      <c r="D22" s="11" t="n">
        <v>17919</v>
      </c>
      <c r="E22" s="11" t="n">
        <v>26889.2</v>
      </c>
      <c r="F22" s="11" t="n">
        <f aca="false">E22-D22</f>
        <v>8970.2</v>
      </c>
      <c r="G22" s="12" t="n">
        <f aca="false">IF(D22=0,"-",F22/D22)</f>
        <v>0.500597131536358</v>
      </c>
      <c r="H22" s="11" t="n">
        <v>18250</v>
      </c>
    </row>
    <row r="23" customFormat="false" ht="15" hidden="false" customHeight="false" outlineLevel="0" collapsed="false">
      <c r="B23" s="13" t="s">
        <v>35</v>
      </c>
      <c r="C23" s="14" t="s">
        <v>38</v>
      </c>
      <c r="D23" s="15" t="n">
        <v>57006</v>
      </c>
      <c r="E23" s="15" t="n">
        <v>48097.6</v>
      </c>
      <c r="F23" s="15" t="n">
        <f aca="false">E23-D23</f>
        <v>-8908.4</v>
      </c>
      <c r="G23" s="16" t="n">
        <f aca="false">IF(D23=0,"-",F23/D23)</f>
        <v>-0.15627126969091</v>
      </c>
      <c r="H23" s="15" t="n">
        <v>35082</v>
      </c>
    </row>
    <row r="24" customFormat="false" ht="15" hidden="false" customHeight="false" outlineLevel="0" collapsed="false">
      <c r="B24" s="9" t="s">
        <v>51</v>
      </c>
      <c r="C24" s="10" t="s">
        <v>38</v>
      </c>
      <c r="D24" s="11" t="n">
        <v>113828</v>
      </c>
      <c r="E24" s="11" t="n">
        <v>104936.7</v>
      </c>
      <c r="F24" s="11" t="n">
        <f aca="false">E24-D24</f>
        <v>-8891.3</v>
      </c>
      <c r="G24" s="12" t="n">
        <f aca="false">IF(D24=0,"-",F24/D24)</f>
        <v>-0.0781117124081949</v>
      </c>
      <c r="H24" s="11" t="n">
        <v>96469</v>
      </c>
    </row>
    <row r="25" customFormat="false" ht="15" hidden="false" customHeight="false" outlineLevel="0" collapsed="false">
      <c r="B25" s="13" t="s">
        <v>49</v>
      </c>
      <c r="C25" s="14" t="s">
        <v>36</v>
      </c>
      <c r="D25" s="15" t="n">
        <v>40659</v>
      </c>
      <c r="E25" s="15" t="n">
        <v>49212.2</v>
      </c>
      <c r="F25" s="15" t="n">
        <f aca="false">E25-D25</f>
        <v>8553.2</v>
      </c>
      <c r="G25" s="16" t="n">
        <f aca="false">IF(D25=0,"-",F25/D25)</f>
        <v>0.210364248997762</v>
      </c>
      <c r="H25" s="15" t="n">
        <v>42777</v>
      </c>
    </row>
    <row r="26" customFormat="false" ht="15" hidden="false" customHeight="false" outlineLevel="0" collapsed="false">
      <c r="B26" s="9" t="s">
        <v>52</v>
      </c>
      <c r="C26" s="10" t="s">
        <v>36</v>
      </c>
      <c r="D26" s="11" t="n">
        <v>75453.7</v>
      </c>
      <c r="E26" s="11" t="n">
        <v>83726.5</v>
      </c>
      <c r="F26" s="11" t="n">
        <f aca="false">E26-D26</f>
        <v>8272.8</v>
      </c>
      <c r="G26" s="12" t="n">
        <f aca="false">IF(D26=0,"-",F26/D26)</f>
        <v>0.10964074657704</v>
      </c>
      <c r="H26" s="11" t="n">
        <v>68414.3</v>
      </c>
    </row>
    <row r="27" customFormat="false" ht="15" hidden="false" customHeight="false" outlineLevel="0" collapsed="false">
      <c r="B27" s="13" t="s">
        <v>53</v>
      </c>
      <c r="C27" s="14" t="s">
        <v>36</v>
      </c>
      <c r="D27" s="15" t="n">
        <v>109575</v>
      </c>
      <c r="E27" s="15" t="n">
        <v>101459.3</v>
      </c>
      <c r="F27" s="15" t="n">
        <f aca="false">E27-D27</f>
        <v>-8115.7</v>
      </c>
      <c r="G27" s="16" t="n">
        <f aca="false">IF(D27=0,"-",F27/D27)</f>
        <v>-0.0740652521104266</v>
      </c>
      <c r="H27" s="15" t="n">
        <v>99796</v>
      </c>
    </row>
    <row r="28" customFormat="false" ht="15" hidden="false" customHeight="false" outlineLevel="0" collapsed="false">
      <c r="B28" s="9" t="s">
        <v>54</v>
      </c>
      <c r="C28" s="10" t="s">
        <v>38</v>
      </c>
      <c r="D28" s="11" t="n">
        <v>12682.5</v>
      </c>
      <c r="E28" s="11" t="n">
        <v>4935.4</v>
      </c>
      <c r="F28" s="11" t="n">
        <f aca="false">E28-D28</f>
        <v>-7747.1</v>
      </c>
      <c r="G28" s="12" t="n">
        <f aca="false">IF(D28=0,"-",F28/D28)</f>
        <v>-0.610849595899862</v>
      </c>
      <c r="H28" s="11" t="n">
        <v>5678</v>
      </c>
    </row>
    <row r="29" customFormat="false" ht="15" hidden="false" customHeight="false" outlineLevel="0" collapsed="false">
      <c r="B29" s="13" t="s">
        <v>51</v>
      </c>
      <c r="C29" s="14" t="s">
        <v>36</v>
      </c>
      <c r="D29" s="15" t="n">
        <v>90234</v>
      </c>
      <c r="E29" s="15" t="n">
        <v>97333.4</v>
      </c>
      <c r="F29" s="15" t="n">
        <f aca="false">E29-D29</f>
        <v>7099.39999999999</v>
      </c>
      <c r="G29" s="16" t="n">
        <f aca="false">IF(D29=0,"-",F29/D29)</f>
        <v>0.078677660305428</v>
      </c>
      <c r="H29" s="15" t="n">
        <v>80539</v>
      </c>
    </row>
    <row r="30" customFormat="false" ht="15" hidden="false" customHeight="false" outlineLevel="0" collapsed="false">
      <c r="B30" s="9" t="s">
        <v>37</v>
      </c>
      <c r="C30" s="10" t="s">
        <v>44</v>
      </c>
      <c r="D30" s="11" t="n">
        <v>102466</v>
      </c>
      <c r="E30" s="11" t="n">
        <v>95438.9</v>
      </c>
      <c r="F30" s="11" t="n">
        <f aca="false">E30-D30</f>
        <v>-7027.10000000001</v>
      </c>
      <c r="G30" s="12" t="n">
        <f aca="false">IF(D30=0,"-",F30/D30)</f>
        <v>-0.0685798215993598</v>
      </c>
      <c r="H30" s="11" t="n">
        <v>94930</v>
      </c>
    </row>
    <row r="32" customFormat="false" ht="15" hidden="false" customHeight="false" outlineLevel="0" collapsed="false">
      <c r="B32" s="7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5"/>
    <col collapsed="false" customWidth="true" hidden="false" outlineLevel="0" max="7" min="7" style="0" width="12"/>
    <col collapsed="false" customWidth="true" hidden="false" outlineLevel="0" max="8" min="8" style="0" width="15"/>
  </cols>
  <sheetData>
    <row r="2" customFormat="false" ht="18.55" hidden="false" customHeight="false" outlineLevel="0" collapsed="false">
      <c r="B2" s="1" t="s">
        <v>56</v>
      </c>
    </row>
    <row r="3" customFormat="false" ht="15" hidden="false" customHeight="false" outlineLevel="0" collapsed="false">
      <c r="B3" s="7" t="s">
        <v>57</v>
      </c>
    </row>
    <row r="5" customFormat="false" ht="15" hidden="false" customHeight="false" outlineLevel="0" collapsed="false">
      <c r="B5" s="8" t="s">
        <v>28</v>
      </c>
      <c r="C5" s="8" t="s">
        <v>29</v>
      </c>
      <c r="D5" s="8" t="s">
        <v>30</v>
      </c>
      <c r="E5" s="8" t="s">
        <v>31</v>
      </c>
      <c r="F5" s="8" t="s">
        <v>32</v>
      </c>
      <c r="G5" s="8" t="s">
        <v>33</v>
      </c>
      <c r="H5" s="8" t="s">
        <v>34</v>
      </c>
    </row>
    <row r="6" customFormat="false" ht="15" hidden="false" customHeight="false" outlineLevel="0" collapsed="false">
      <c r="B6" s="9" t="s">
        <v>58</v>
      </c>
      <c r="C6" s="10" t="s">
        <v>44</v>
      </c>
      <c r="D6" s="11" t="n">
        <v>53.4</v>
      </c>
      <c r="E6" s="11" t="n">
        <v>824.1</v>
      </c>
      <c r="F6" s="11" t="n">
        <f aca="false">E6-D6</f>
        <v>770.7</v>
      </c>
      <c r="G6" s="12" t="n">
        <f aca="false">IF(D6=0,"-",F6/D6)</f>
        <v>14.4325842696629</v>
      </c>
      <c r="H6" s="11" t="n">
        <v>1053</v>
      </c>
    </row>
    <row r="7" customFormat="false" ht="15" hidden="false" customHeight="false" outlineLevel="0" collapsed="false">
      <c r="B7" s="13" t="s">
        <v>59</v>
      </c>
      <c r="C7" s="14" t="s">
        <v>36</v>
      </c>
      <c r="D7" s="15" t="n">
        <v>108</v>
      </c>
      <c r="E7" s="15" t="n">
        <v>998.4</v>
      </c>
      <c r="F7" s="15" t="n">
        <f aca="false">E7-D7</f>
        <v>890.4</v>
      </c>
      <c r="G7" s="16" t="n">
        <f aca="false">IF(D7=0,"-",F7/D7)</f>
        <v>8.24444444444444</v>
      </c>
      <c r="H7" s="15" t="n">
        <v>167</v>
      </c>
    </row>
    <row r="8" customFormat="false" ht="15" hidden="false" customHeight="false" outlineLevel="0" collapsed="false">
      <c r="B8" s="9" t="s">
        <v>60</v>
      </c>
      <c r="C8" s="10" t="s">
        <v>36</v>
      </c>
      <c r="D8" s="11" t="n">
        <v>82.9</v>
      </c>
      <c r="E8" s="11" t="n">
        <v>448.3</v>
      </c>
      <c r="F8" s="11" t="n">
        <f aca="false">E8-D8</f>
        <v>365.4</v>
      </c>
      <c r="G8" s="12" t="n">
        <f aca="false">IF(D8=0,"-",F8/D8)</f>
        <v>4.40772014475271</v>
      </c>
      <c r="H8" s="11" t="n">
        <v>168.1</v>
      </c>
    </row>
    <row r="9" customFormat="false" ht="15" hidden="false" customHeight="false" outlineLevel="0" collapsed="false">
      <c r="B9" s="13" t="s">
        <v>61</v>
      </c>
      <c r="C9" s="14" t="s">
        <v>38</v>
      </c>
      <c r="D9" s="15" t="n">
        <v>61.3</v>
      </c>
      <c r="E9" s="15" t="n">
        <v>319.1</v>
      </c>
      <c r="F9" s="15" t="n">
        <f aca="false">E9-D9</f>
        <v>257.8</v>
      </c>
      <c r="G9" s="16" t="n">
        <f aca="false">IF(D9=0,"-",F9/D9)</f>
        <v>4.20554649265905</v>
      </c>
      <c r="H9" s="15" t="n">
        <v>52.1</v>
      </c>
    </row>
    <row r="10" customFormat="false" ht="15" hidden="false" customHeight="false" outlineLevel="0" collapsed="false">
      <c r="B10" s="9" t="s">
        <v>62</v>
      </c>
      <c r="C10" s="10" t="s">
        <v>44</v>
      </c>
      <c r="D10" s="11" t="n">
        <v>271.3</v>
      </c>
      <c r="E10" s="11" t="n">
        <v>1214.1</v>
      </c>
      <c r="F10" s="11" t="n">
        <f aca="false">E10-D10</f>
        <v>942.8</v>
      </c>
      <c r="G10" s="12" t="n">
        <f aca="false">IF(D10=0,"-",F10/D10)</f>
        <v>3.47511979358644</v>
      </c>
      <c r="H10" s="11" t="n">
        <v>265.4</v>
      </c>
    </row>
    <row r="11" customFormat="false" ht="15" hidden="false" customHeight="false" outlineLevel="0" collapsed="false">
      <c r="B11" s="13" t="s">
        <v>63</v>
      </c>
      <c r="C11" s="14" t="s">
        <v>44</v>
      </c>
      <c r="D11" s="15" t="n">
        <v>203.6</v>
      </c>
      <c r="E11" s="15" t="n">
        <v>897.1</v>
      </c>
      <c r="F11" s="15" t="n">
        <f aca="false">E11-D11</f>
        <v>693.5</v>
      </c>
      <c r="G11" s="16" t="n">
        <f aca="false">IF(D11=0,"-",F11/D11)</f>
        <v>3.40618860510806</v>
      </c>
      <c r="H11" s="15" t="n">
        <v>193.8</v>
      </c>
    </row>
    <row r="12" customFormat="false" ht="15" hidden="false" customHeight="false" outlineLevel="0" collapsed="false">
      <c r="B12" s="9" t="s">
        <v>64</v>
      </c>
      <c r="C12" s="10" t="s">
        <v>44</v>
      </c>
      <c r="D12" s="11" t="n">
        <v>332.7</v>
      </c>
      <c r="E12" s="11" t="n">
        <v>1342.3</v>
      </c>
      <c r="F12" s="11" t="n">
        <f aca="false">E12-D12</f>
        <v>1009.6</v>
      </c>
      <c r="G12" s="12" t="n">
        <f aca="false">IF(D12=0,"-",F12/D12)</f>
        <v>3.03456567478209</v>
      </c>
      <c r="H12" s="11" t="n">
        <v>2635.2</v>
      </c>
    </row>
    <row r="13" customFormat="false" ht="15" hidden="false" customHeight="false" outlineLevel="0" collapsed="false">
      <c r="B13" s="13" t="s">
        <v>65</v>
      </c>
      <c r="C13" s="14" t="s">
        <v>44</v>
      </c>
      <c r="D13" s="15" t="n">
        <v>70.4</v>
      </c>
      <c r="E13" s="15" t="n">
        <v>279.4</v>
      </c>
      <c r="F13" s="15" t="n">
        <f aca="false">E13-D13</f>
        <v>209</v>
      </c>
      <c r="G13" s="16" t="n">
        <f aca="false">IF(D13=0,"-",F13/D13)</f>
        <v>2.96875</v>
      </c>
      <c r="H13" s="15" t="n">
        <v>84.5</v>
      </c>
    </row>
    <row r="14" customFormat="false" ht="15" hidden="false" customHeight="false" outlineLevel="0" collapsed="false">
      <c r="B14" s="9" t="s">
        <v>66</v>
      </c>
      <c r="C14" s="10" t="s">
        <v>42</v>
      </c>
      <c r="D14" s="11" t="n">
        <v>681.9</v>
      </c>
      <c r="E14" s="11" t="n">
        <v>2634.5</v>
      </c>
      <c r="F14" s="11" t="n">
        <f aca="false">E14-D14</f>
        <v>1952.6</v>
      </c>
      <c r="G14" s="12" t="n">
        <f aca="false">IF(D14=0,"-",F14/D14)</f>
        <v>2.8634697169673</v>
      </c>
      <c r="H14" s="11" t="n">
        <v>2671</v>
      </c>
    </row>
    <row r="15" customFormat="false" ht="15" hidden="false" customHeight="false" outlineLevel="0" collapsed="false">
      <c r="B15" s="13" t="s">
        <v>67</v>
      </c>
      <c r="C15" s="14" t="s">
        <v>44</v>
      </c>
      <c r="D15" s="15" t="n">
        <v>308.5</v>
      </c>
      <c r="E15" s="15" t="n">
        <v>1180.6</v>
      </c>
      <c r="F15" s="15" t="n">
        <f aca="false">E15-D15</f>
        <v>872.1</v>
      </c>
      <c r="G15" s="16" t="n">
        <f aca="false">IF(D15=0,"-",F15/D15)</f>
        <v>2.82690437601297</v>
      </c>
      <c r="H15" s="15" t="n">
        <v>1224</v>
      </c>
    </row>
    <row r="16" customFormat="false" ht="15" hidden="false" customHeight="false" outlineLevel="0" collapsed="false">
      <c r="B16" s="9" t="s">
        <v>68</v>
      </c>
      <c r="C16" s="10" t="s">
        <v>38</v>
      </c>
      <c r="D16" s="11" t="n">
        <v>1752</v>
      </c>
      <c r="E16" s="11" t="n">
        <v>6604.8</v>
      </c>
      <c r="F16" s="11" t="n">
        <f aca="false">E16-D16</f>
        <v>4852.8</v>
      </c>
      <c r="G16" s="12" t="n">
        <f aca="false">IF(D16=0,"-",F16/D16)</f>
        <v>2.76986301369863</v>
      </c>
      <c r="H16" s="11" t="n">
        <v>6760</v>
      </c>
    </row>
    <row r="17" customFormat="false" ht="15" hidden="false" customHeight="false" outlineLevel="0" collapsed="false">
      <c r="B17" s="13" t="s">
        <v>69</v>
      </c>
      <c r="C17" s="14" t="s">
        <v>42</v>
      </c>
      <c r="D17" s="15" t="n">
        <v>178.9</v>
      </c>
      <c r="E17" s="15" t="n">
        <v>673.7</v>
      </c>
      <c r="F17" s="15" t="n">
        <f aca="false">E17-D17</f>
        <v>494.8</v>
      </c>
      <c r="G17" s="16" t="n">
        <f aca="false">IF(D17=0,"-",F17/D17)</f>
        <v>2.76579094466182</v>
      </c>
      <c r="H17" s="15" t="n">
        <v>186.7</v>
      </c>
    </row>
    <row r="18" customFormat="false" ht="15" hidden="false" customHeight="false" outlineLevel="0" collapsed="false">
      <c r="B18" s="9" t="s">
        <v>70</v>
      </c>
      <c r="C18" s="10" t="s">
        <v>38</v>
      </c>
      <c r="D18" s="11" t="n">
        <v>57.1</v>
      </c>
      <c r="E18" s="11" t="n">
        <v>194.1</v>
      </c>
      <c r="F18" s="11" t="n">
        <f aca="false">E18-D18</f>
        <v>137</v>
      </c>
      <c r="G18" s="12" t="n">
        <f aca="false">IF(D18=0,"-",F18/D18)</f>
        <v>2.39929947460595</v>
      </c>
      <c r="H18" s="11" t="n">
        <v>0</v>
      </c>
    </row>
    <row r="19" customFormat="false" ht="15" hidden="false" customHeight="false" outlineLevel="0" collapsed="false">
      <c r="B19" s="13" t="s">
        <v>71</v>
      </c>
      <c r="C19" s="14" t="s">
        <v>42</v>
      </c>
      <c r="D19" s="15" t="n">
        <v>557.1</v>
      </c>
      <c r="E19" s="15" t="n">
        <v>1888.8</v>
      </c>
      <c r="F19" s="15" t="n">
        <f aca="false">E19-D19</f>
        <v>1331.7</v>
      </c>
      <c r="G19" s="16" t="n">
        <f aca="false">IF(D19=0,"-",F19/D19)</f>
        <v>2.39041464728056</v>
      </c>
      <c r="H19" s="15" t="n">
        <v>1813.2</v>
      </c>
    </row>
    <row r="20" customFormat="false" ht="15" hidden="false" customHeight="false" outlineLevel="0" collapsed="false">
      <c r="B20" s="9" t="s">
        <v>72</v>
      </c>
      <c r="C20" s="10" t="s">
        <v>38</v>
      </c>
      <c r="D20" s="11" t="n">
        <v>71.6</v>
      </c>
      <c r="E20" s="11" t="n">
        <v>238.3</v>
      </c>
      <c r="F20" s="11" t="n">
        <f aca="false">E20-D20</f>
        <v>166.7</v>
      </c>
      <c r="G20" s="12" t="n">
        <f aca="false">IF(D20=0,"-",F20/D20)</f>
        <v>2.32821229050279</v>
      </c>
      <c r="H20" s="11" t="n">
        <v>341.5</v>
      </c>
    </row>
    <row r="21" customFormat="false" ht="15" hidden="false" customHeight="false" outlineLevel="0" collapsed="false">
      <c r="B21" s="13" t="s">
        <v>73</v>
      </c>
      <c r="C21" s="14" t="s">
        <v>36</v>
      </c>
      <c r="D21" s="15" t="n">
        <v>199.3</v>
      </c>
      <c r="E21" s="15" t="n">
        <v>644.7</v>
      </c>
      <c r="F21" s="15" t="n">
        <f aca="false">E21-D21</f>
        <v>445.4</v>
      </c>
      <c r="G21" s="16" t="n">
        <f aca="false">IF(D21=0,"-",F21/D21)</f>
        <v>2.23482187656799</v>
      </c>
      <c r="H21" s="15" t="n">
        <v>171.1</v>
      </c>
    </row>
    <row r="22" customFormat="false" ht="15" hidden="false" customHeight="false" outlineLevel="0" collapsed="false">
      <c r="B22" s="9" t="s">
        <v>74</v>
      </c>
      <c r="C22" s="10" t="s">
        <v>44</v>
      </c>
      <c r="D22" s="11" t="n">
        <v>387.3</v>
      </c>
      <c r="E22" s="11" t="n">
        <v>1229.9</v>
      </c>
      <c r="F22" s="11" t="n">
        <f aca="false">E22-D22</f>
        <v>842.6</v>
      </c>
      <c r="G22" s="12" t="n">
        <f aca="false">IF(D22=0,"-",F22/D22)</f>
        <v>2.17557449005939</v>
      </c>
      <c r="H22" s="11" t="n">
        <v>414.7</v>
      </c>
    </row>
    <row r="23" customFormat="false" ht="15" hidden="false" customHeight="false" outlineLevel="0" collapsed="false">
      <c r="B23" s="13" t="s">
        <v>75</v>
      </c>
      <c r="C23" s="14" t="s">
        <v>42</v>
      </c>
      <c r="D23" s="15" t="n">
        <v>871</v>
      </c>
      <c r="E23" s="15" t="n">
        <v>2701.8</v>
      </c>
      <c r="F23" s="15" t="n">
        <f aca="false">E23-D23</f>
        <v>1830.8</v>
      </c>
      <c r="G23" s="16" t="n">
        <f aca="false">IF(D23=0,"-",F23/D23)</f>
        <v>2.10195177956372</v>
      </c>
      <c r="H23" s="15" t="n">
        <v>1427</v>
      </c>
    </row>
    <row r="24" customFormat="false" ht="15" hidden="false" customHeight="false" outlineLevel="0" collapsed="false">
      <c r="B24" s="9" t="s">
        <v>71</v>
      </c>
      <c r="C24" s="10" t="s">
        <v>36</v>
      </c>
      <c r="D24" s="11" t="n">
        <v>1052.7</v>
      </c>
      <c r="E24" s="11" t="n">
        <v>3238.5</v>
      </c>
      <c r="F24" s="11" t="n">
        <f aca="false">E24-D24</f>
        <v>2185.8</v>
      </c>
      <c r="G24" s="12" t="n">
        <f aca="false">IF(D24=0,"-",F24/D24)</f>
        <v>2.07637503562268</v>
      </c>
      <c r="H24" s="11" t="n">
        <v>3891.4</v>
      </c>
    </row>
    <row r="25" customFormat="false" ht="15" hidden="false" customHeight="false" outlineLevel="0" collapsed="false">
      <c r="B25" s="13" t="s">
        <v>76</v>
      </c>
      <c r="C25" s="14" t="s">
        <v>36</v>
      </c>
      <c r="D25" s="15" t="n">
        <v>91.9</v>
      </c>
      <c r="E25" s="15" t="n">
        <v>277.4</v>
      </c>
      <c r="F25" s="15" t="n">
        <f aca="false">E25-D25</f>
        <v>185.5</v>
      </c>
      <c r="G25" s="16" t="n">
        <f aca="false">IF(D25=0,"-",F25/D25)</f>
        <v>2.01849836779108</v>
      </c>
      <c r="H25" s="15" t="n">
        <v>277.4</v>
      </c>
    </row>
    <row r="26" customFormat="false" ht="15" hidden="false" customHeight="false" outlineLevel="0" collapsed="false">
      <c r="B26" s="9" t="s">
        <v>77</v>
      </c>
      <c r="C26" s="10" t="s">
        <v>44</v>
      </c>
      <c r="D26" s="11" t="n">
        <v>152</v>
      </c>
      <c r="E26" s="11" t="n">
        <v>459</v>
      </c>
      <c r="F26" s="11" t="n">
        <f aca="false">E26-D26</f>
        <v>307</v>
      </c>
      <c r="G26" s="12" t="n">
        <f aca="false">IF(D26=0,"-",F26/D26)</f>
        <v>2.01973684210526</v>
      </c>
      <c r="H26" s="11" t="n">
        <v>459</v>
      </c>
    </row>
    <row r="27" customFormat="false" ht="15" hidden="false" customHeight="false" outlineLevel="0" collapsed="false">
      <c r="B27" s="13" t="s">
        <v>78</v>
      </c>
      <c r="C27" s="14" t="s">
        <v>36</v>
      </c>
      <c r="D27" s="15" t="n">
        <v>82.4</v>
      </c>
      <c r="E27" s="15" t="n">
        <v>248.5</v>
      </c>
      <c r="F27" s="15" t="n">
        <f aca="false">E27-D27</f>
        <v>166.1</v>
      </c>
      <c r="G27" s="16" t="n">
        <f aca="false">IF(D27=0,"-",F27/D27)</f>
        <v>2.01577669902913</v>
      </c>
      <c r="H27" s="15" t="n">
        <v>384.6</v>
      </c>
    </row>
    <row r="28" customFormat="false" ht="15" hidden="false" customHeight="false" outlineLevel="0" collapsed="false">
      <c r="B28" s="9" t="s">
        <v>79</v>
      </c>
      <c r="C28" s="10" t="s">
        <v>38</v>
      </c>
      <c r="D28" s="11" t="n">
        <v>390.5</v>
      </c>
      <c r="E28" s="11" t="n">
        <v>1113.1</v>
      </c>
      <c r="F28" s="11" t="n">
        <f aca="false">E28-D28</f>
        <v>722.6</v>
      </c>
      <c r="G28" s="12" t="n">
        <f aca="false">IF(D28=0,"-",F28/D28)</f>
        <v>1.85044814340589</v>
      </c>
      <c r="H28" s="11" t="n">
        <v>430.9</v>
      </c>
    </row>
    <row r="29" customFormat="false" ht="15" hidden="false" customHeight="false" outlineLevel="0" collapsed="false">
      <c r="B29" s="13" t="s">
        <v>80</v>
      </c>
      <c r="C29" s="14" t="s">
        <v>38</v>
      </c>
      <c r="D29" s="15" t="n">
        <v>147.1</v>
      </c>
      <c r="E29" s="15" t="n">
        <v>414.5</v>
      </c>
      <c r="F29" s="15" t="n">
        <f aca="false">E29-D29</f>
        <v>267.4</v>
      </c>
      <c r="G29" s="16" t="n">
        <f aca="false">IF(D29=0,"-",F29/D29)</f>
        <v>1.81781101291638</v>
      </c>
      <c r="H29" s="15" t="n">
        <v>175.2</v>
      </c>
    </row>
    <row r="30" customFormat="false" ht="15" hidden="false" customHeight="false" outlineLevel="0" collapsed="false">
      <c r="B30" s="9" t="s">
        <v>81</v>
      </c>
      <c r="C30" s="10" t="s">
        <v>42</v>
      </c>
      <c r="D30" s="11" t="n">
        <v>319.7</v>
      </c>
      <c r="E30" s="11" t="n">
        <v>834.7</v>
      </c>
      <c r="F30" s="11" t="n">
        <f aca="false">E30-D30</f>
        <v>515</v>
      </c>
      <c r="G30" s="12" t="n">
        <f aca="false">IF(D30=0,"-",F30/D30)</f>
        <v>1.61088520487957</v>
      </c>
      <c r="H30" s="11" t="n">
        <v>834.7</v>
      </c>
    </row>
    <row r="32" customFormat="false" ht="15" hidden="false" customHeight="false" outlineLevel="0" collapsed="false">
      <c r="B32" s="7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2"/>
    <col collapsed="false" customWidth="true" hidden="false" outlineLevel="0" max="5" min="3" style="0" width="26"/>
  </cols>
  <sheetData>
    <row r="2" customFormat="false" ht="18.55" hidden="false" customHeight="false" outlineLevel="0" collapsed="false">
      <c r="B2" s="1" t="s">
        <v>83</v>
      </c>
    </row>
    <row r="3" customFormat="false" ht="15" hidden="false" customHeight="false" outlineLevel="0" collapsed="false">
      <c r="B3" s="7" t="s">
        <v>84</v>
      </c>
    </row>
    <row r="5" customFormat="false" ht="15" hidden="false" customHeight="false" outlineLevel="0" collapsed="false">
      <c r="B5" s="8" t="s">
        <v>85</v>
      </c>
      <c r="C5" s="8" t="s">
        <v>86</v>
      </c>
      <c r="D5" s="8" t="s">
        <v>87</v>
      </c>
      <c r="E5" s="8" t="s">
        <v>88</v>
      </c>
    </row>
    <row r="6" customFormat="false" ht="15" hidden="false" customHeight="false" outlineLevel="0" collapsed="false">
      <c r="B6" s="10" t="s">
        <v>36</v>
      </c>
      <c r="C6" s="10" t="n">
        <v>3266</v>
      </c>
      <c r="D6" s="17" t="n">
        <v>188.3</v>
      </c>
      <c r="E6" s="18" t="n">
        <v>0.095</v>
      </c>
    </row>
    <row r="7" customFormat="false" ht="15" hidden="false" customHeight="false" outlineLevel="0" collapsed="false">
      <c r="B7" s="10" t="s">
        <v>42</v>
      </c>
      <c r="C7" s="10" t="n">
        <v>3386</v>
      </c>
      <c r="D7" s="17" t="n">
        <v>132.2</v>
      </c>
      <c r="E7" s="18" t="n">
        <v>0.078</v>
      </c>
    </row>
    <row r="8" customFormat="false" ht="15" hidden="false" customHeight="false" outlineLevel="0" collapsed="false">
      <c r="B8" s="10" t="s">
        <v>44</v>
      </c>
      <c r="C8" s="10" t="n">
        <v>3360</v>
      </c>
      <c r="D8" s="17" t="n">
        <v>114.6</v>
      </c>
      <c r="E8" s="18" t="n">
        <v>0.064</v>
      </c>
    </row>
    <row r="9" customFormat="false" ht="15" hidden="false" customHeight="false" outlineLevel="0" collapsed="false">
      <c r="B9" s="10" t="s">
        <v>38</v>
      </c>
      <c r="C9" s="10" t="n">
        <v>3069</v>
      </c>
      <c r="D9" s="17" t="n">
        <v>158.1</v>
      </c>
      <c r="E9" s="18" t="n">
        <v>0.072</v>
      </c>
    </row>
    <row r="10" customFormat="false" ht="15" hidden="false" customHeight="false" outlineLevel="0" collapsed="false">
      <c r="B10" s="19" t="s">
        <v>89</v>
      </c>
      <c r="C10" s="20"/>
      <c r="D10" s="21" t="n">
        <f aca="false">AVERAGE(D6:D9)</f>
        <v>148.3</v>
      </c>
      <c r="E10" s="22" t="n">
        <f aca="false">AVERAGE(E6:E9)</f>
        <v>0.07725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2026-06-05T21:03:11Z</dcterms:created>
  <dc:creator>openpyxl</dc:creator>
  <dc:description/>
  <dc:language>en-US</dc:language>
  <cp:lastModifiedBy/>
  <dcterms:modified xsi:type="dcterms:W3CDTF">2026-06-05T21:03:11Z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